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rieval Scorec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<sst xmlns="http://schemas.openxmlformats.org/spreadsheetml/2006/main" count="45" uniqueCount="44">
  <si>
    <t xml:space="preserve">Day 2 Retrieval Scorecard — AI Clinical Decision Support Lite Hackathon</t>
  </si>
  <si>
    <t xml:space="preserve">Mark each retrieved chunk 1 = relevant, 0 = not relevant. Precision@5 and the average recalculate automatically.</t>
  </si>
  <si>
    <t xml:space="preserve">#</t>
  </si>
  <si>
    <t xml:space="preserve">Question</t>
  </si>
  <si>
    <t xml:space="preserve">Expected Source</t>
  </si>
  <si>
    <t xml:space="preserve">Chunk 1</t>
  </si>
  <si>
    <t xml:space="preserve">Chunk 2</t>
  </si>
  <si>
    <t xml:space="preserve">Chunk 3</t>
  </si>
  <si>
    <t xml:space="preserve">Chunk 4</t>
  </si>
  <si>
    <t xml:space="preserve">Chunk 5</t>
  </si>
  <si>
    <t xml:space="preserve">Relevant Count</t>
  </si>
  <si>
    <t xml:space="preserve">Precision@5</t>
  </si>
  <si>
    <t xml:space="preserve">What blood pressure threshold should trigger starting medication for hypertension?</t>
  </si>
  <si>
    <t xml:space="preserve">WHO Hypertension Guideline / Recommendation 1 / Page 3</t>
  </si>
  <si>
    <t xml:space="preserve">What are the three recommended first-line drug classes for treating hypertension?</t>
  </si>
  <si>
    <t xml:space="preserve">WHO Hypertension Guideline / 3.4 Drug classes / Page 8</t>
  </si>
  <si>
    <t xml:space="preserve">What is the target blood pressure for a patient with existing cardiovascular disease?</t>
  </si>
  <si>
    <t xml:space="preserve">WHO Hypertension Guideline / 3.6 Target blood pressure / Page 9</t>
  </si>
  <si>
    <t xml:space="preserve">How often should a patient be followed up after starting or changing medication?</t>
  </si>
  <si>
    <t xml:space="preserve">WHO Hypertension Guideline / 3.7 Frequency of re-assessment / Page 9</t>
  </si>
  <si>
    <t xml:space="preserve">Can nurses or pharmacists prescribe antihypertensive treatment?</t>
  </si>
  <si>
    <t xml:space="preserve">WHO Hypertension Guideline / 3.8 Administration by nonphysicians / Page 10</t>
  </si>
  <si>
    <t xml:space="preserve">Which antihypertensive medications are contraindicated during pregnancy?</t>
  </si>
  <si>
    <t xml:space="preserve">WHO Hypertension Guideline / 4.3 Pregnancy and hypertension / Page 10</t>
  </si>
  <si>
    <t xml:space="preserve">What is the recommended starting dose in the single-pill combination algorithm?</t>
  </si>
  <si>
    <t xml:space="preserve">WHO Hypertension Guideline / 6.2 Drug- and dose-specific protocols / Page 12</t>
  </si>
  <si>
    <t xml:space="preserve">What screening interval does this guideline recommend for breast cancer?</t>
  </si>
  <si>
    <t xml:space="preserve">Not covered — expected refusal (out-of-scope control question)</t>
  </si>
  <si>
    <t xml:space="preserve">What is leprosy and how is it transmitted?</t>
  </si>
  <si>
    <t xml:space="preserve">Skin-Related NTD Handbook / 2.1.2 How is it transmitted? (Leprosy) / Page 38</t>
  </si>
  <si>
    <t xml:space="preserve">What are the treatment options for scabies?</t>
  </si>
  <si>
    <t xml:space="preserve">Skin-Related NTD Handbook / 2.5.6 How can scabies be treated? / Page 79</t>
  </si>
  <si>
    <t xml:space="preserve">How does crusted scabies differ from ordinary scabies?</t>
  </si>
  <si>
    <t xml:space="preserve">Skin-Related NTD Handbook / 2.5.5 What is crusted scabies? / Page 78</t>
  </si>
  <si>
    <t xml:space="preserve">What is the recommended treatment for yaws?</t>
  </si>
  <si>
    <t xml:space="preserve">Skin-Related NTD Handbook / 2.6.5 How can yaws be treated? / Page 86</t>
  </si>
  <si>
    <t xml:space="preserve">What are the common symptoms of cutaneous leishmaniasis?</t>
  </si>
  <si>
    <t xml:space="preserve">Skin-Related NTD Handbook / 2.2.3.1 What are the common symptoms? / Page 49-50</t>
  </si>
  <si>
    <t xml:space="preserve">How can lymphatic filariasis-related disability be managed?</t>
  </si>
  <si>
    <t xml:space="preserve">Skin-Related NTD Handbook / 2.3.5.2 Morbidity management and disability / Page 62</t>
  </si>
  <si>
    <t xml:space="preserve">What is mycetoma and how is it transmitted?</t>
  </si>
  <si>
    <t xml:space="preserve">Skin-Related NTD Handbook / 2.4.2.1-2.4.2.2 What is mycetoma? / How is it transmitted? / Page 70</t>
  </si>
  <si>
    <t xml:space="preserve">What is the recommended isotretinoin dosing protocol for treating severe nodulocystic acne?</t>
  </si>
  <si>
    <t xml:space="preserve">AVERAGE PRECISION@5 ACROSS ALL QUESTIONS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</si>
</sst>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0"/>
      <color rgb="FF5A6472"/>
      <name val="Cambria"/>
      <family val="0"/>
      <charset val="1"/>
    </font>
    <font>
      <b val="true"/>
      <sz val="10.5"/>
      <color rgb="FFFFFFFF"/>
      <name val="Cambria"/>
      <family val="0"/>
      <charset val="1"/>
    </font>
    <font>
      <sz val="10.5"/>
      <name val="Cambria"/>
      <family val="0"/>
      <charset val="1"/>
    </font>
    <font>
      <b val="true"/>
      <sz val="11"/>
      <color rgb="FF0F307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307F"/>
        <bgColor rgb="FF333399"/>
      </patternFill>
    </fill>
    <fill>
      <patternFill patternType="solid">
        <fgColor rgb="FFF1F5FC"/>
        <bgColor rgb="FFFFFFFF"/>
      </patternFill>
    </fill>
    <fill>
      <patternFill patternType="solid">
        <fgColor rgb="FFFFFFFF"/>
        <bgColor rgb="FFF1F5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6F7"/>
      </left>
      <right style="thin">
        <color rgb="FFDCE6F7"/>
      </right>
      <top style="thin">
        <color rgb="FFDCE6F7"/>
      </top>
      <bottom style="thin">
        <color rgb="FFDCE6F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DE2E2"/>
        </patternFill>
      </fill>
    </dxf>
    <dxf>
      <fill>
        <patternFill>
          <bgColor rgb="FFE3F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C"/>
      <rgbColor rgb="FFDCE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2E1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0F307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8" min="4" style="0" width="9"/>
    <col collapsed="false" customWidth="true" hidden="false" outlineLevel="0" max="10" min="9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3.75" hidden="false" customHeight="true" outlineLevel="0" collapsed="false">
      <c r="A5" s="4" t="n">
        <v>1</v>
      </c>
      <c r="B5" s="5" t="s">
        <v>12</v>
      </c>
      <c r="C5" s="5" t="s">
        <v>13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7" t="n">
        <f aca="false">SUM(D5:H5)</f>
        <v>0</v>
      </c>
      <c r="J5" s="8" t="n">
        <f aca="false">I5/5</f>
        <v>0</v>
      </c>
    </row>
    <row r="6" customFormat="false" ht="33.75" hidden="false" customHeight="true" outlineLevel="0" collapsed="false">
      <c r="A6" s="9" t="n">
        <v>2</v>
      </c>
      <c r="B6" s="10" t="s">
        <v>14</v>
      </c>
      <c r="C6" s="10" t="s">
        <v>15</v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2" t="n">
        <f aca="false">SUM(D6:H6)</f>
        <v>0</v>
      </c>
      <c r="J6" s="13" t="n">
        <f aca="false">I6/5</f>
        <v>0</v>
      </c>
    </row>
    <row r="7" customFormat="false" ht="33.75" hidden="false" customHeight="true" outlineLevel="0" collapsed="false">
      <c r="A7" s="4" t="n">
        <v>3</v>
      </c>
      <c r="B7" s="5" t="s">
        <v>16</v>
      </c>
      <c r="C7" s="5" t="s">
        <v>17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7" t="n">
        <f aca="false">SUM(D7:H7)</f>
        <v>0</v>
      </c>
      <c r="J7" s="8" t="n">
        <f aca="false">I7/5</f>
        <v>0</v>
      </c>
    </row>
    <row r="8" customFormat="false" ht="33.75" hidden="false" customHeight="true" outlineLevel="0" collapsed="false">
      <c r="A8" s="9" t="n">
        <v>4</v>
      </c>
      <c r="B8" s="10" t="s">
        <v>18</v>
      </c>
      <c r="C8" s="10" t="s">
        <v>19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2" t="n">
        <f aca="false">SUM(D8:H8)</f>
        <v>0</v>
      </c>
      <c r="J8" s="13" t="n">
        <f aca="false">I8/5</f>
        <v>0</v>
      </c>
    </row>
    <row r="9" customFormat="false" ht="33.75" hidden="false" customHeight="true" outlineLevel="0" collapsed="false">
      <c r="A9" s="4" t="n">
        <v>5</v>
      </c>
      <c r="B9" s="5" t="s">
        <v>20</v>
      </c>
      <c r="C9" s="5" t="s">
        <v>21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7" t="n">
        <f aca="false">SUM(D9:H9)</f>
        <v>0</v>
      </c>
      <c r="J9" s="8" t="n">
        <f aca="false">I9/5</f>
        <v>0</v>
      </c>
    </row>
    <row r="10" customFormat="false" ht="33.75" hidden="false" customHeight="true" outlineLevel="0" collapsed="false">
      <c r="A10" s="9" t="n">
        <v>6</v>
      </c>
      <c r="B10" s="10" t="s">
        <v>22</v>
      </c>
      <c r="C10" s="10" t="s">
        <v>23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2" t="n">
        <f aca="false">SUM(D10:H10)</f>
        <v>0</v>
      </c>
      <c r="J10" s="13" t="n">
        <f aca="false">I10/5</f>
        <v>0</v>
      </c>
    </row>
    <row r="11" customFormat="false" ht="33.75" hidden="false" customHeight="true" outlineLevel="0" collapsed="false">
      <c r="A11" s="4" t="n">
        <v>7</v>
      </c>
      <c r="B11" s="5" t="s">
        <v>24</v>
      </c>
      <c r="C11" s="5" t="s">
        <v>25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7" t="n">
        <f aca="false">SUM(D11:H11)</f>
        <v>0</v>
      </c>
      <c r="J11" s="8" t="n">
        <f aca="false">I11/5</f>
        <v>0</v>
      </c>
    </row>
    <row r="12" customFormat="false" ht="33.75" hidden="false" customHeight="true" outlineLevel="0" collapsed="false">
      <c r="A12" s="9" t="n">
        <v>8</v>
      </c>
      <c r="B12" s="10" t="s">
        <v>26</v>
      </c>
      <c r="C12" s="10" t="s">
        <v>27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2" t="n">
        <f aca="false">SUM(D12:H12)</f>
        <v>0</v>
      </c>
      <c r="J12" s="13" t="n">
        <f aca="false">I12/5</f>
        <v>0</v>
      </c>
    </row>
    <row r="13" customFormat="false" ht="39.55" hidden="false" customHeight="false" outlineLevel="0" collapsed="false">
      <c r="A13" s="4" t="n">
        <v>9</v>
      </c>
      <c r="B13" s="5" t="s">
        <v>28</v>
      </c>
      <c r="C13" s="5" t="s">
        <v>29</v>
      </c>
      <c r="D13" s="6" t="n">
        <v>0</v>
      </c>
      <c r="E13" s="6" t="n">
        <v>1</v>
      </c>
      <c r="F13" s="6" t="n">
        <v>0</v>
      </c>
      <c r="G13" s="6" t="n">
        <v>0</v>
      </c>
      <c r="H13" s="6" t="n">
        <v>0</v>
      </c>
      <c r="I13" s="7" t="n">
        <f aca="false">SUM(D13:H13)</f>
        <v>1</v>
      </c>
      <c r="J13" s="8" t="n">
        <f aca="false">I13/5</f>
        <v>0.2</v>
      </c>
    </row>
    <row r="14" customFormat="false" ht="24" hidden="false" customHeight="true" outlineLevel="0" collapsed="false">
      <c r="A14" s="9" t="n">
        <v>10</v>
      </c>
      <c r="B14" s="10" t="s">
        <v>30</v>
      </c>
      <c r="C14" s="10" t="s">
        <v>31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2" t="n">
        <f aca="false">SUM(D14:H14)</f>
        <v>0</v>
      </c>
      <c r="J14" s="13" t="n">
        <f aca="false">I14/5</f>
        <v>0</v>
      </c>
    </row>
    <row r="15" customFormat="false" ht="26.85" hidden="false" customHeight="false" outlineLevel="0" collapsed="false">
      <c r="A15" s="4" t="n">
        <v>11</v>
      </c>
      <c r="B15" s="5" t="s">
        <v>32</v>
      </c>
      <c r="C15" s="5" t="s">
        <v>33</v>
      </c>
      <c r="D15" s="6" t="n">
        <v>1</v>
      </c>
      <c r="E15" s="6" t="n">
        <v>1</v>
      </c>
      <c r="F15" s="6" t="n">
        <v>1</v>
      </c>
      <c r="G15" s="6" t="n">
        <v>1</v>
      </c>
      <c r="H15" s="6" t="n">
        <v>1</v>
      </c>
      <c r="I15" s="7" t="n">
        <f aca="false">SUM(D15:H15)</f>
        <v>5</v>
      </c>
      <c r="J15" s="8" t="n">
        <f aca="false">I15/5</f>
        <v>1</v>
      </c>
    </row>
    <row r="16" customFormat="false" ht="26.85" hidden="false" customHeight="false" outlineLevel="0" collapsed="false">
      <c r="A16" s="9" t="n">
        <v>12</v>
      </c>
      <c r="B16" s="10" t="s">
        <v>34</v>
      </c>
      <c r="C16" s="10" t="s">
        <v>35</v>
      </c>
      <c r="D16" s="11" t="n">
        <v>1</v>
      </c>
      <c r="E16" s="11" t="n">
        <v>0</v>
      </c>
      <c r="F16" s="11" t="n">
        <v>0</v>
      </c>
      <c r="G16" s="11" t="n">
        <v>0</v>
      </c>
      <c r="H16" s="11" t="n">
        <v>0</v>
      </c>
      <c r="I16" s="12" t="n">
        <f aca="false">SUM(D16:H16)</f>
        <v>1</v>
      </c>
      <c r="J16" s="13" t="n">
        <f aca="false">I16/5</f>
        <v>0.2</v>
      </c>
    </row>
    <row r="17" customFormat="false" ht="39.55" hidden="false" customHeight="false" outlineLevel="0" collapsed="false">
      <c r="A17" s="4" t="n">
        <v>13</v>
      </c>
      <c r="B17" s="5" t="s">
        <v>36</v>
      </c>
      <c r="C17" s="5" t="s">
        <v>37</v>
      </c>
      <c r="D17" s="6" t="n">
        <v>1</v>
      </c>
      <c r="E17" s="6" t="n">
        <v>0</v>
      </c>
      <c r="F17" s="6" t="n">
        <v>1</v>
      </c>
      <c r="G17" s="6" t="n">
        <v>1</v>
      </c>
      <c r="H17" s="6" t="n">
        <v>0</v>
      </c>
      <c r="I17" s="7" t="n">
        <f aca="false">SUM(D17:H17)</f>
        <v>3</v>
      </c>
      <c r="J17" s="8" t="n">
        <f aca="false">I17/5</f>
        <v>0.6</v>
      </c>
    </row>
    <row r="18" customFormat="false" ht="39.55" hidden="false" customHeight="false" outlineLevel="0" collapsed="false">
      <c r="A18" s="9" t="n">
        <v>14</v>
      </c>
      <c r="B18" s="10" t="s">
        <v>38</v>
      </c>
      <c r="C18" s="10" t="s">
        <v>39</v>
      </c>
      <c r="D18" s="11" t="n">
        <v>1</v>
      </c>
      <c r="E18" s="11" t="n">
        <v>0</v>
      </c>
      <c r="F18" s="11" t="n">
        <v>0</v>
      </c>
      <c r="G18" s="11" t="n">
        <v>0</v>
      </c>
      <c r="H18" s="11" t="n">
        <v>1</v>
      </c>
      <c r="I18" s="12" t="n">
        <f aca="false">SUM(D18:H18)</f>
        <v>2</v>
      </c>
      <c r="J18" s="13" t="n">
        <f aca="false">I18/5</f>
        <v>0.4</v>
      </c>
    </row>
    <row r="19" customFormat="false" ht="39.55" hidden="false" customHeight="false" outlineLevel="0" collapsed="false">
      <c r="A19" s="4" t="n">
        <v>15</v>
      </c>
      <c r="B19" s="5" t="s">
        <v>40</v>
      </c>
      <c r="C19" s="5" t="s">
        <v>41</v>
      </c>
      <c r="D19" s="6" t="n">
        <v>0</v>
      </c>
      <c r="E19" s="6" t="n">
        <v>1</v>
      </c>
      <c r="F19" s="6" t="n">
        <v>0</v>
      </c>
      <c r="G19" s="6" t="n">
        <v>0</v>
      </c>
      <c r="H19" s="6" t="n">
        <v>1</v>
      </c>
      <c r="I19" s="7" t="n">
        <f aca="false">SUM(D19:H19)</f>
        <v>2</v>
      </c>
      <c r="J19" s="8" t="n">
        <f aca="false">I19/5</f>
        <v>0.4</v>
      </c>
    </row>
    <row r="20" customFormat="false" ht="26.85" hidden="false" customHeight="false" outlineLevel="0" collapsed="false">
      <c r="A20" s="9" t="n">
        <v>16</v>
      </c>
      <c r="B20" s="10" t="s">
        <v>42</v>
      </c>
      <c r="C20" s="10" t="s">
        <v>27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2" t="n">
        <f aca="false">SUM(D20:H20)</f>
        <v>0</v>
      </c>
      <c r="J20" s="13" t="n">
        <f aca="false">I20/5</f>
        <v>0</v>
      </c>
    </row>
    <row r="22" customFormat="false" ht="17.35" hidden="false" customHeight="false" outlineLevel="0" collapsed="false">
      <c r="A22" s="14" t="s">
        <v>43</v>
      </c>
      <c r="B22" s="14"/>
      <c r="C22" s="14"/>
      <c r="D22" s="14"/>
      <c r="E22" s="14"/>
      <c r="F22" s="14"/>
      <c r="G22" s="14"/>
      <c r="H22" s="14"/>
      <c r="I22" s="15" t="n">
        <f aca="false">AVERAGE(J5:J20)</f>
        <v>0.175</v>
      </c>
      <c r="J22" s="15"/>
    </row>
  </sheetData>
  <mergeCells count="4">
    <mergeCell ref="A1:J1"/>
    <mergeCell ref="A2:J2"/>
    <mergeCell ref="A22:H22"/>
    <mergeCell ref="I22:J22"/>
  </mergeCells>
  <conditionalFormatting sqref="J5:J12">
    <cfRule type="cellIs" priority="2" operator="lessThan" aboveAverage="0" equalAverage="0" bottom="0" percent="0" rank="0" text="" dxfId="0">
      <formula>0.6</formula>
    </cfRule>
    <cfRule type="cellIs" priority="3" operator="greaterThanOrEqual" aboveAverage="0" equalAverage="0" bottom="0" percent="0" rank="0" text="" dxfId="1">
      <formula>0.8</formula>
    </cfRule>
  </conditionalFormatting>
  <dataValidations count="1">
    <dataValidation allowBlank="true" errorStyle="stop" operator="between" showDropDown="false" showErrorMessage="false" showInputMessage="false" sqref="D5:H12" type="list">
      <formula1>"0,1"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2026-08-11T16:47:18Z</dcterms:created>
  <dc:creator>openpyxl</dc:creator>
  <dc:description/>
  <dc:language>en-US</dc:language>
  <cp:lastModifiedBy/>
  <dcterms:modified xsi:type="dcterms:W3CDTF">2026-08-19T18:13:48Z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